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unka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<sst xmlns="http://schemas.openxmlformats.org/spreadsheetml/2006/main" uniqueCount="197">
  <si>
    <t>LAZAR ANGELOV NON EU PRICE LIST</t>
  </si>
  <si>
    <t>NEW ID</t>
  </si>
  <si>
    <t>RÉGI CIKKSZÁM</t>
  </si>
  <si>
    <t>PRODUCT NAME</t>
  </si>
  <si>
    <t>CASE/BOX</t>
  </si>
  <si>
    <t>ORDER</t>
  </si>
  <si>
    <t>PRICE</t>
  </si>
  <si>
    <t>TOTAL:</t>
  </si>
  <si>
    <t>700-5919-1600P</t>
  </si>
  <si>
    <t>402-5919-1600P</t>
  </si>
  <si>
    <t>LAZAR ANGELOV ISOWHEY MANGO-YOGURT 1600 g (SC)</t>
  </si>
  <si>
    <t>700-6280-1600P</t>
  </si>
  <si>
    <t>402-6280-1600P</t>
  </si>
  <si>
    <t>LAZAR ANGELOV ISOWHEY MARZIPAN 1600 g (SC)</t>
  </si>
  <si>
    <t>700-5914-1600P</t>
  </si>
  <si>
    <t>402-5914-1600P</t>
  </si>
  <si>
    <t>LAZAR ANGELOV ISOWHEY MILK CHOCOLATE 1600 g (SC)</t>
  </si>
  <si>
    <t>700-5357-1600P</t>
  </si>
  <si>
    <t>402-5357-1600P</t>
  </si>
  <si>
    <t>LAZAR ANGELOV ISOWHEY SALTY CARAMEL 1600 g (SC)</t>
  </si>
  <si>
    <t>700-5854-908P</t>
  </si>
  <si>
    <t>402-5854-908P</t>
  </si>
  <si>
    <t>LAZAR ANGELOV WHEY VANILIA 908 g (SC)</t>
  </si>
  <si>
    <t>700-5881-908P</t>
  </si>
  <si>
    <t>402-5881-908P</t>
  </si>
  <si>
    <t>LAZAR ANGELOV WHEY CHOCOLATE 908 g (SC)</t>
  </si>
  <si>
    <t>700-6624-908P</t>
  </si>
  <si>
    <t>402-6624-908P</t>
  </si>
  <si>
    <t>LAZAR ANGELOV WHEY CHOCOLATE-COCONUT 908 g (SC)</t>
  </si>
  <si>
    <t>700-6257-908P</t>
  </si>
  <si>
    <t>402-6257-908P</t>
  </si>
  <si>
    <t>LAZAR ANGELOV WHEY CHOCOLATE-HAZELNUT 908 g (SC)</t>
  </si>
  <si>
    <t>700-8680-908P</t>
  </si>
  <si>
    <t>402-8680-908P</t>
  </si>
  <si>
    <t>LAZAR ANGELOV WHEY COOKIE AND CREAM 908 g (SC)</t>
  </si>
  <si>
    <t>700-6075-908P</t>
  </si>
  <si>
    <t>402-6075-908P</t>
  </si>
  <si>
    <t>LAZAR ANGELOV WHEY PISTACHIO 908 g (SC)</t>
  </si>
  <si>
    <t>700-6708-908P</t>
  </si>
  <si>
    <t>402-6708-908P</t>
  </si>
  <si>
    <t>LAZAR ANGELOV WHEY WHITE CHOCOLATE-STRAWBERRY 908 g (SC)</t>
  </si>
  <si>
    <t>700-8197-2000P</t>
  </si>
  <si>
    <t>402-8197-2000P</t>
  </si>
  <si>
    <t>LAZAR ANGELOV WHEY VANILIA 2000 g (SC)</t>
  </si>
  <si>
    <t>700-8155-2000P</t>
  </si>
  <si>
    <t>402-8155-2000P</t>
  </si>
  <si>
    <t>LAZAR ANGELOV WHEY CHOCOLATE 2000 g (SC)</t>
  </si>
  <si>
    <t>700-8674-2000P</t>
  </si>
  <si>
    <t>402-8674-2000P</t>
  </si>
  <si>
    <t>LAZAR ANGELOV WHEY CHOCOLATE-COCONUT 2000 g (SC)</t>
  </si>
  <si>
    <t>700-8199-2000P</t>
  </si>
  <si>
    <t>402-8199-2000P</t>
  </si>
  <si>
    <t>LAZAR ANGELOV WHEY CHOCOLATE-HAZELNUT 2000 g (SC)</t>
  </si>
  <si>
    <t>700-4310-2000P</t>
  </si>
  <si>
    <t>402-4310-2000P</t>
  </si>
  <si>
    <t>LAZAR ANGELOV WHEY COOKIE AND CREAM 2000 g (SC)</t>
  </si>
  <si>
    <t>700-8200-2000P</t>
  </si>
  <si>
    <t>402-8200-2000P</t>
  </si>
  <si>
    <t>LAZAR ANGELOV WHEY PISTACHIO 2000 g (SC)</t>
  </si>
  <si>
    <t>700-8201-2000P</t>
  </si>
  <si>
    <t>402-8201-2000P</t>
  </si>
  <si>
    <t>LAZAR ANGELOV WHEY WHITE CHOCOLATE - STRAWBERRY 2000 g (SC)</t>
  </si>
  <si>
    <t>700-5290-2270P</t>
  </si>
  <si>
    <t>402-5290-2270P</t>
  </si>
  <si>
    <t>LAZAR ANGELOV NUTRITION WHEY VANILLA 2270 g (SC)</t>
  </si>
  <si>
    <t>700-5292-2270P</t>
  </si>
  <si>
    <t>402-5292-2270P</t>
  </si>
  <si>
    <t>LAZAR ANGELOV NUTRITION WHEY CHOCOLATE 2270 g (SC)</t>
  </si>
  <si>
    <t>700-5342-2270P</t>
  </si>
  <si>
    <t>402-5342-2270P</t>
  </si>
  <si>
    <t>LAZAR ANGELOV NUTRITION WHEY CHOCOLATE-COCONUT 2270 g (SC)</t>
  </si>
  <si>
    <t>700-5396-2270P</t>
  </si>
  <si>
    <t>402-5396-2270P</t>
  </si>
  <si>
    <t>LAZAR ANGELOV NUTRITION WHEY STRAWBERRY-BANANA 2270 g (SC)</t>
  </si>
  <si>
    <t>700-5290-1000P</t>
  </si>
  <si>
    <t>402-5290-1000P</t>
  </si>
  <si>
    <t>LAZAR ANGELOV NUTRITION WHEY VANILLA 1000 g (SC)</t>
  </si>
  <si>
    <t>700-5292-1000P</t>
  </si>
  <si>
    <t>402-5292-1000P</t>
  </si>
  <si>
    <t>LAZAR ANGELOV NUTRITION WHEY CHOCOLATE 1000 g (SC)</t>
  </si>
  <si>
    <t>700-8915-1000P</t>
  </si>
  <si>
    <t>402-8915-1000P</t>
  </si>
  <si>
    <t>LAZAR ANGELOV NUTRITION WHEY CHOCOLATE-COCONUT 1000 g (SC)</t>
  </si>
  <si>
    <t>700-8914-1000P</t>
  </si>
  <si>
    <t>402-8914-1000P</t>
  </si>
  <si>
    <t>LAZAR ANGELOV NUTRITION WHEY STRAWBERRY-BANANA 1000 g (SC)</t>
  </si>
  <si>
    <t>700-9787-3000P</t>
  </si>
  <si>
    <t>402-9787-3000P</t>
  </si>
  <si>
    <t>LAZAR ANGELOV MASSIVE GAINER COOKIES AND CREAM 3000 g (SC)</t>
  </si>
  <si>
    <t>700-9786-3000P</t>
  </si>
  <si>
    <t>402-9786-3000P</t>
  </si>
  <si>
    <t>LAZAR ANGELOV MASSIVE GAINER CHOCOLATE 3000 g (SC)</t>
  </si>
  <si>
    <t>700-9790-3000P</t>
  </si>
  <si>
    <t>402-9790-3000P</t>
  </si>
  <si>
    <t>LAZAR ANGELOV MASSIVE GAINER VANILLA 3000 g (SC)</t>
  </si>
  <si>
    <t>700-3405-1300P</t>
  </si>
  <si>
    <t>402-3405-1300P</t>
  </si>
  <si>
    <t>LAZAR ANGELOV KING CARB PEACH 1300 g (SC)</t>
  </si>
  <si>
    <t>700-7732-1300P</t>
  </si>
  <si>
    <t>402-7732-1300P</t>
  </si>
  <si>
    <t>LAZAR ANGELOV KING CARB STRAWBERRY 1300 g (SC)</t>
  </si>
  <si>
    <t>700-7689-500P</t>
  </si>
  <si>
    <t>402-7689-500P</t>
  </si>
  <si>
    <t>LAZAR ANGELOV BCAA LEMON 500 g (SC)</t>
  </si>
  <si>
    <t>700-7617-500P</t>
  </si>
  <si>
    <t>402-7617-500P</t>
  </si>
  <si>
    <t>LAZAR ANGELOV BCAA MANGO-MARACUJA 500 g (SC)</t>
  </si>
  <si>
    <t>700-7618-500P</t>
  </si>
  <si>
    <t>402-7618-500P</t>
  </si>
  <si>
    <t>LAZAR ANGELOV BCAA BLUE RASPBERRY 500 g (SC)</t>
  </si>
  <si>
    <t>700-4623-500P</t>
  </si>
  <si>
    <t>402-4623-500P</t>
  </si>
  <si>
    <t>LAZAR ANGELOV BCAA GRAPE SODA 500 g (SC)</t>
  </si>
  <si>
    <t>700-8776-200TC</t>
  </si>
  <si>
    <t>402-8776-200TC</t>
  </si>
  <si>
    <t>LAZAR ANGELOV AMINO ROCK 200 tabs (SC)</t>
  </si>
  <si>
    <t>700-6445-390P</t>
  </si>
  <si>
    <t>402-6445-390P</t>
  </si>
  <si>
    <t>LAZAR ANGELOV ESSENTIAL AMINO POWDER ORANGE 390 g (SC)</t>
  </si>
  <si>
    <t>700-4311-390P</t>
  </si>
  <si>
    <t>402-4311-390P</t>
  </si>
  <si>
    <t>LAZAR ANGELOV ESSENTIAL AMINO POWDER BUBBLE GUM 390 g (SC)</t>
  </si>
  <si>
    <t>700-6446-390P</t>
  </si>
  <si>
    <t>402-6446-390P</t>
  </si>
  <si>
    <t>LAZAR ANGELOV ESSENTIAL AMINO POWDER MANGO-MARACUJA 390 g (SC)</t>
  </si>
  <si>
    <t>700-2387-300P</t>
  </si>
  <si>
    <t>402-2387-300P</t>
  </si>
  <si>
    <t>LAZAR ANGELOV GLUTAMIN UNFLAVOURED 300 g (SC)</t>
  </si>
  <si>
    <t>700-1688-300P</t>
  </si>
  <si>
    <t>402-1688-300P</t>
  </si>
  <si>
    <t>LAZAR ANGELOV VIT/AMINO PEAR 300 g (SC)</t>
  </si>
  <si>
    <t>700-1668-300P</t>
  </si>
  <si>
    <t>402-1668-300P</t>
  </si>
  <si>
    <t>LAZAR ANGELOV VIT/AMINO BLACKCURRANT 300 g (SC)</t>
  </si>
  <si>
    <t>700-1979-300P</t>
  </si>
  <si>
    <t>402-1979-300P</t>
  </si>
  <si>
    <t>LAZAR ANGELOV VIT/AMINO CHERRY-LIME 300 g (SC)</t>
  </si>
  <si>
    <t>700-1977-300P</t>
  </si>
  <si>
    <t>402-1977-300P</t>
  </si>
  <si>
    <t>LAZAR ANGELOV VIT/AMINO ORANGE 300 g (SC)</t>
  </si>
  <si>
    <t>700-202258-90SG</t>
  </si>
  <si>
    <t>LAZAR ANGELOV D3+K1+K2 90 softgels (SC)</t>
  </si>
  <si>
    <t>700-6736-380P-1</t>
  </si>
  <si>
    <t>402-6736-380P-1</t>
  </si>
  <si>
    <t>LAZAR ANGELOV REVOLT MOJITO 380 g (SC)</t>
  </si>
  <si>
    <t>700-6609-380P-1</t>
  </si>
  <si>
    <t>402-6609-380P-1</t>
  </si>
  <si>
    <t>LAZAR ANGELOV REVOLT COLA 380 g (SC)</t>
  </si>
  <si>
    <t>700-7616-380P</t>
  </si>
  <si>
    <t>402-7616-380P</t>
  </si>
  <si>
    <t>LAZAR ANGELOV REVOLT GRAPE 380 g (SC)</t>
  </si>
  <si>
    <t>700-7583-380P-1</t>
  </si>
  <si>
    <t>402-7583-380P-1</t>
  </si>
  <si>
    <t>LAZAR ANGELOV REVOLT MANGO 380 g (SC)</t>
  </si>
  <si>
    <t>700-0105197-300P</t>
  </si>
  <si>
    <t>402-0105197-300P</t>
  </si>
  <si>
    <t>LAZAR ANGELOV ARGININE UNFLAVOURED 300 g (SC)</t>
  </si>
  <si>
    <t>700-1760-300P</t>
  </si>
  <si>
    <t>402-1760-300P</t>
  </si>
  <si>
    <t>LAZAR ANGELOV BETA ALANINE UNFLAVOURED 300 g (SC)</t>
  </si>
  <si>
    <t>700-1200001-300P</t>
  </si>
  <si>
    <t>402-1200001-300P</t>
  </si>
  <si>
    <t>LAZAR ANGELOV CREATINE UNFLAVOURED 300 g (SC)</t>
  </si>
  <si>
    <t>700-1976-30TC</t>
  </si>
  <si>
    <t>402-1976-30TC</t>
  </si>
  <si>
    <t>LAZAR ANGELOV JOINT PACK 30 sachets (SC)</t>
  </si>
  <si>
    <t>700-0939-120TC-1</t>
  </si>
  <si>
    <t>402-0939-120TC-1</t>
  </si>
  <si>
    <t>LAZAR ANGELOV CELL BURNER 120 caps ('00') (SC)</t>
  </si>
  <si>
    <t>700-10579-120K</t>
  </si>
  <si>
    <t>LAZAR ANGELOV AQUACUT 120caps (SC)</t>
  </si>
  <si>
    <t>700-20057-120TC</t>
  </si>
  <si>
    <t>LAZAR ANGELOV NUTRITION TRIBULUS 120 tabs (SC)</t>
  </si>
  <si>
    <t>700-7774-300P</t>
  </si>
  <si>
    <t>402-7774-300P</t>
  </si>
  <si>
    <t>LAZAR ANGELOV TESTO SHOCK STRAWBERRY KIWI 300 g (SC)</t>
  </si>
  <si>
    <t>700-7775-300P</t>
  </si>
  <si>
    <t>402-7775-300P</t>
  </si>
  <si>
    <t>LAZAR ANGELOV TESTO SHOCK BUBBLE GUM 300 g (SC)</t>
  </si>
  <si>
    <t>700-8915-30S</t>
  </si>
  <si>
    <t>402-8915-30S</t>
  </si>
  <si>
    <t>LAZAR ANGELOV NUTRITION WHEY CHOCOLATE-COCONUT 30 g (SC)</t>
  </si>
  <si>
    <t>700-5623-30S</t>
  </si>
  <si>
    <t>402-5623-30S</t>
  </si>
  <si>
    <t>LAZAR ANGELOV NUTRITION WHEY CHOCOLATE 30 g (SC)</t>
  </si>
  <si>
    <t>700-5627-30S</t>
  </si>
  <si>
    <t>402-5627-30S</t>
  </si>
  <si>
    <t>LAZAR ANGELOV NUTRITION WHEY VANILLA 30 g (SC)</t>
  </si>
  <si>
    <t>700-9007-25S</t>
  </si>
  <si>
    <t>402-9007-25S</t>
  </si>
  <si>
    <t>LAZAR ANGELOV ISOWHEY SALTY CARAMEL 25 g (SC)</t>
  </si>
  <si>
    <t>700-5914-25S</t>
  </si>
  <si>
    <t>402-5914-25S</t>
  </si>
  <si>
    <t>LAZAR ANGELOV ISOWHEY MILK CHOCOLATE 25 g (SC)</t>
  </si>
  <si>
    <t>700-0106-700SH</t>
  </si>
  <si>
    <t>100-0106-700SH</t>
  </si>
  <si>
    <t>LAZAR ANGELOV SHAKER 700 ml (SC)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</si>
</sst>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&quot; &quot;* #,##0&quot; &quot;;&quot;-&quot;* #,##0&quot; &quot;;&quot; &quot;* &quot;-&quot;??&quot; &quot;"/>
    <numFmt numFmtId="60" formatCode="&quot; &quot;* #,##0.00&quot; &quot;;&quot;-&quot;* #,##0.00&quot; &quot;;&quot; &quot;* &quot;-&quot;??&quot; &quot;"/>
    <numFmt numFmtId="61" formatCode="&quot; &quot;* #,##0.00&quot; &quot;[$€-2]&quot; &quot;;&quot;-&quot;* #,##0.00&quot; &quot;[$€-2]&quot; &quot;;&quot; &quot;* &quot;-&quot;??&quot; &quot;[$€-2]&quot; &quot;"/>
  </numFmts>
  <fonts count="8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24"/>
      <color indexed="8"/>
      <name val="Helvetica"/>
    </font>
    <font>
      <b val="1"/>
      <sz val="13"/>
      <color indexed="8"/>
      <name val="Helvetica"/>
    </font>
    <font>
      <sz val="13"/>
      <color indexed="14"/>
      <name val="Helvetica"/>
    </font>
    <font>
      <sz val="13"/>
      <color indexed="8"/>
      <name val="Helvetica"/>
    </font>
    <font>
      <b val="1"/>
      <sz val="16"/>
      <color indexed="8"/>
      <name val="Helvetica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2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/>
      <top style="medium">
        <color indexed="8"/>
      </top>
      <bottom style="thin">
        <color indexed="10"/>
      </bottom>
      <diagonal/>
    </border>
    <border>
      <left/>
      <right style="thin">
        <color indexed="10"/>
      </right>
      <top style="medium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0" fontId="3" fillId="2" borderId="1" applyNumberFormat="0" applyFont="1" applyFill="1" applyBorder="1" applyAlignment="1" applyProtection="0">
      <alignment horizontal="center" vertical="bottom"/>
    </xf>
    <xf numFmtId="0" fontId="3" fillId="2" borderId="2" applyNumberFormat="0" applyFont="1" applyFill="1" applyBorder="1" applyAlignment="1" applyProtection="0">
      <alignment horizontal="center" vertical="bottom"/>
    </xf>
    <xf numFmtId="49" fontId="4" fillId="3" borderId="3" applyNumberFormat="1" applyFont="1" applyFill="1" applyBorder="1" applyAlignment="1" applyProtection="0">
      <alignment horizontal="center" vertical="center"/>
    </xf>
    <xf numFmtId="49" fontId="4" fillId="3" borderId="4" applyNumberFormat="1" applyFont="1" applyFill="1" applyBorder="1" applyAlignment="1" applyProtection="0">
      <alignment horizontal="center" vertical="center"/>
    </xf>
    <xf numFmtId="49" fontId="4" fillId="3" borderId="5" applyNumberFormat="1" applyFont="1" applyFill="1" applyBorder="1" applyAlignment="1" applyProtection="0">
      <alignment horizontal="center" vertical="center"/>
    </xf>
    <xf numFmtId="49" fontId="4" fillId="3" borderId="6" applyNumberFormat="1" applyFont="1" applyFill="1" applyBorder="1" applyAlignment="1" applyProtection="0">
      <alignment horizontal="center" vertical="center"/>
    </xf>
    <xf numFmtId="49" fontId="0" fillId="2" borderId="7" applyNumberFormat="1" applyFont="1" applyFill="1" applyBorder="1" applyAlignment="1" applyProtection="0">
      <alignment vertical="bottom"/>
    </xf>
    <xf numFmtId="49" fontId="0" fillId="2" borderId="8" applyNumberFormat="1" applyFont="1" applyFill="1" applyBorder="1" applyAlignment="1" applyProtection="0">
      <alignment vertical="bottom"/>
    </xf>
    <xf numFmtId="59" fontId="0" fillId="2" borderId="8" applyNumberFormat="1" applyFont="1" applyFill="1" applyBorder="1" applyAlignment="1" applyProtection="0">
      <alignment vertical="center"/>
    </xf>
    <xf numFmtId="60" fontId="0" fillId="4" borderId="8" applyNumberFormat="1" applyFont="1" applyFill="1" applyBorder="1" applyAlignment="1" applyProtection="0">
      <alignment vertical="bottom"/>
    </xf>
    <xf numFmtId="61" fontId="0" fillId="5" borderId="5" applyNumberFormat="1" applyFont="1" applyFill="1" applyBorder="1" applyAlignment="1" applyProtection="0">
      <alignment vertical="bottom"/>
    </xf>
    <xf numFmtId="61" fontId="0" fillId="5" borderId="9" applyNumberFormat="1" applyFont="1" applyFill="1" applyBorder="1" applyAlignment="1" applyProtection="0">
      <alignment vertical="bottom"/>
    </xf>
    <xf numFmtId="49" fontId="0" fillId="2" borderId="10" applyNumberFormat="1" applyFont="1" applyFill="1" applyBorder="1" applyAlignment="1" applyProtection="0">
      <alignment vertical="bottom"/>
    </xf>
    <xf numFmtId="49" fontId="0" fillId="2" borderId="11" applyNumberFormat="1" applyFont="1" applyFill="1" applyBorder="1" applyAlignment="1" applyProtection="0">
      <alignment vertical="bottom"/>
    </xf>
    <xf numFmtId="59" fontId="0" fillId="2" borderId="11" applyNumberFormat="1" applyFont="1" applyFill="1" applyBorder="1" applyAlignment="1" applyProtection="0">
      <alignment vertical="center"/>
    </xf>
    <xf numFmtId="60" fontId="0" fillId="4" borderId="11" applyNumberFormat="1" applyFont="1" applyFill="1" applyBorder="1" applyAlignment="1" applyProtection="0">
      <alignment vertical="bottom"/>
    </xf>
    <xf numFmtId="61" fontId="0" fillId="5" borderId="12" applyNumberFormat="1" applyFont="1" applyFill="1" applyBorder="1" applyAlignment="1" applyProtection="0">
      <alignment vertical="bottom"/>
    </xf>
    <xf numFmtId="49" fontId="0" fillId="2" borderId="13" applyNumberFormat="1" applyFont="1" applyFill="1" applyBorder="1" applyAlignment="1" applyProtection="0">
      <alignment vertical="bottom"/>
    </xf>
    <xf numFmtId="49" fontId="0" fillId="6" borderId="14" applyNumberFormat="1" applyFont="1" applyFill="1" applyBorder="1" applyAlignment="1" applyProtection="0">
      <alignment vertical="bottom"/>
    </xf>
    <xf numFmtId="49" fontId="0" fillId="2" borderId="14" applyNumberFormat="1" applyFont="1" applyFill="1" applyBorder="1" applyAlignment="1" applyProtection="0">
      <alignment vertical="bottom"/>
    </xf>
    <xf numFmtId="59" fontId="0" fillId="2" borderId="14" applyNumberFormat="1" applyFont="1" applyFill="1" applyBorder="1" applyAlignment="1" applyProtection="0">
      <alignment vertical="center"/>
    </xf>
    <xf numFmtId="60" fontId="0" fillId="4" borderId="14" applyNumberFormat="1" applyFont="1" applyFill="1" applyBorder="1" applyAlignment="1" applyProtection="0">
      <alignment vertical="bottom"/>
    </xf>
    <xf numFmtId="61" fontId="0" fillId="5" borderId="8" applyNumberFormat="1" applyFont="1" applyFill="1" applyBorder="1" applyAlignment="1" applyProtection="0">
      <alignment vertical="bottom"/>
    </xf>
    <xf numFmtId="61" fontId="0" fillId="5" borderId="15" applyNumberFormat="1" applyFont="1" applyFill="1" applyBorder="1" applyAlignment="1" applyProtection="0">
      <alignment vertical="bottom"/>
    </xf>
    <xf numFmtId="61" fontId="0" fillId="5" borderId="14" applyNumberFormat="1" applyFont="1" applyFill="1" applyBorder="1" applyAlignment="1" applyProtection="0">
      <alignment vertical="bottom"/>
    </xf>
    <xf numFmtId="49" fontId="0" fillId="6" borderId="11" applyNumberFormat="1" applyFont="1" applyFill="1" applyBorder="1" applyAlignment="1" applyProtection="0">
      <alignment vertical="bottom"/>
    </xf>
    <xf numFmtId="61" fontId="0" fillId="5" borderId="11" applyNumberFormat="1" applyFont="1" applyFill="1" applyBorder="1" applyAlignment="1" applyProtection="0">
      <alignment vertical="bottom"/>
    </xf>
    <xf numFmtId="49" fontId="0" fillId="6" borderId="8" applyNumberFormat="1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vertical="bottom"/>
    </xf>
    <xf numFmtId="49" fontId="0" fillId="2" borderId="5" applyNumberFormat="1" applyFont="1" applyFill="1" applyBorder="1" applyAlignment="1" applyProtection="0">
      <alignment vertical="bottom"/>
    </xf>
    <xf numFmtId="59" fontId="0" fillId="2" borderId="5" applyNumberFormat="1" applyFont="1" applyFill="1" applyBorder="1" applyAlignment="1" applyProtection="0">
      <alignment vertical="center"/>
    </xf>
    <xf numFmtId="60" fontId="0" fillId="4" borderId="5" applyNumberFormat="1" applyFont="1" applyFill="1" applyBorder="1" applyAlignment="1" applyProtection="0">
      <alignment vertical="bottom"/>
    </xf>
    <xf numFmtId="61" fontId="0" fillId="5" borderId="6" applyNumberFormat="1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49" fontId="0" fillId="6" borderId="4" applyNumberFormat="1" applyFont="1" applyFill="1" applyBorder="1" applyAlignment="1" applyProtection="0">
      <alignment vertical="bottom"/>
    </xf>
    <xf numFmtId="60" fontId="0" fillId="7" borderId="5" applyNumberFormat="1" applyFont="1" applyFill="1" applyBorder="1" applyAlignment="1" applyProtection="0">
      <alignment vertical="bottom"/>
    </xf>
    <xf numFmtId="61" fontId="0" fillId="5" borderId="3" applyNumberFormat="1" applyFont="1" applyFill="1" applyBorder="1" applyAlignment="1" applyProtection="0">
      <alignment vertical="bottom"/>
    </xf>
    <xf numFmtId="0" fontId="5" fillId="2" borderId="8" applyNumberFormat="0" applyFont="1" applyFill="1" applyBorder="1" applyAlignment="1" applyProtection="0">
      <alignment vertical="bottom"/>
    </xf>
    <xf numFmtId="59" fontId="6" fillId="2" borderId="8" applyNumberFormat="1" applyFont="1" applyFill="1" applyBorder="1" applyAlignment="1" applyProtection="0">
      <alignment horizontal="center" vertical="center"/>
    </xf>
    <xf numFmtId="61" fontId="4" fillId="5" borderId="8" applyNumberFormat="1" applyFont="1" applyFill="1" applyBorder="1" applyAlignment="1" applyProtection="0">
      <alignment vertical="bottom"/>
    </xf>
    <xf numFmtId="60" fontId="0" fillId="7" borderId="11" applyNumberFormat="1" applyFont="1" applyFill="1" applyBorder="1" applyAlignment="1" applyProtection="0">
      <alignment vertical="bottom"/>
    </xf>
    <xf numFmtId="60" fontId="0" fillId="7" borderId="14" applyNumberFormat="1" applyFont="1" applyFill="1" applyBorder="1" applyAlignment="1" applyProtection="0">
      <alignment vertical="bottom"/>
    </xf>
    <xf numFmtId="49" fontId="6" fillId="2" borderId="8" applyNumberFormat="1" applyFont="1" applyFill="1" applyBorder="1" applyAlignment="1" applyProtection="0">
      <alignment horizontal="left" vertical="bottom"/>
    </xf>
    <xf numFmtId="0" fontId="6" fillId="2" borderId="8" applyNumberFormat="1" applyFont="1" applyFill="1" applyBorder="1" applyAlignment="1" applyProtection="0">
      <alignment horizontal="right" vertical="center"/>
    </xf>
    <xf numFmtId="60" fontId="0" fillId="7" borderId="8" applyNumberFormat="1" applyFont="1" applyFill="1" applyBorder="1" applyAlignment="1" applyProtection="0">
      <alignment vertical="bottom"/>
    </xf>
    <xf numFmtId="49" fontId="6" fillId="2" borderId="11" applyNumberFormat="1" applyFont="1" applyFill="1" applyBorder="1" applyAlignment="1" applyProtection="0">
      <alignment horizontal="left" vertical="bottom"/>
    </xf>
    <xf numFmtId="0" fontId="6" fillId="2" borderId="11" applyNumberFormat="1" applyFont="1" applyFill="1" applyBorder="1" applyAlignment="1" applyProtection="0">
      <alignment horizontal="right" vertical="center"/>
    </xf>
    <xf numFmtId="49" fontId="6" fillId="2" borderId="14" applyNumberFormat="1" applyFont="1" applyFill="1" applyBorder="1" applyAlignment="1" applyProtection="0">
      <alignment horizontal="left" vertical="bottom"/>
    </xf>
    <xf numFmtId="0" fontId="6" fillId="2" borderId="14" applyNumberFormat="1" applyFont="1" applyFill="1" applyBorder="1" applyAlignment="1" applyProtection="0">
      <alignment horizontal="right" vertical="center"/>
    </xf>
    <xf numFmtId="0" fontId="0" fillId="2" borderId="16" applyNumberFormat="0" applyFont="1" applyFill="1" applyBorder="1" applyAlignment="1" applyProtection="0">
      <alignment vertical="bottom"/>
    </xf>
    <xf numFmtId="0" fontId="0" fillId="2" borderId="17" applyNumberFormat="0" applyFont="1" applyFill="1" applyBorder="1" applyAlignment="1" applyProtection="0">
      <alignment vertical="bottom"/>
    </xf>
    <xf numFmtId="61" fontId="7" fillId="5" borderId="18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19" applyNumberFormat="0" applyFont="1" applyFill="1" applyBorder="1" applyAlignment="1" applyProtection="0">
      <alignment vertical="bottom"/>
    </xf>
    <xf numFmtId="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8d8d8"/>
      <rgbColor rgb="ffececec"/>
      <rgbColor rgb="fff7caac"/>
      <rgbColor rgb="ffff0000"/>
      <rgbColor rgb="ffe7e6e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2013 – 2022 téma">
  <a:themeElements>
    <a:clrScheme name="Office 2013 – 2022 téma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– 2022 téma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– 2022 tém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75"/>
  <sheetViews>
    <sheetView workbookViewId="0" showGridLines="0" defaultGridColor="1"/>
  </sheetViews>
  <sheetFormatPr defaultColWidth="10.8333" defaultRowHeight="16.8" customHeight="1" outlineLevelRow="0" outlineLevelCol="0"/>
  <cols>
    <col min="1" max="1" width="19.5" style="1" customWidth="1"/>
    <col min="2" max="2" width="21" style="1" customWidth="1"/>
    <col min="3" max="3" width="87.6719" style="1" customWidth="1"/>
    <col min="4" max="4" width="12.5" style="1" customWidth="1"/>
    <col min="5" max="5" width="14.1719" style="1" customWidth="1"/>
    <col min="6" max="6" width="15" style="1" customWidth="1"/>
    <col min="7" max="7" width="19.3516" style="1" customWidth="1"/>
    <col min="8" max="16384" width="10.8516" style="1" customWidth="1"/>
  </cols>
  <sheetData>
    <row r="1" ht="16.8" customHeight="1">
      <c r="A1" t="s" s="2">
        <v>0</v>
      </c>
      <c r="B1" s="3"/>
      <c r="C1" s="3"/>
      <c r="D1" s="3"/>
      <c r="E1" s="3"/>
      <c r="F1" s="3"/>
      <c r="G1" s="3"/>
    </row>
    <row r="2" ht="17.4" customHeight="1">
      <c r="A2" s="4"/>
      <c r="B2" s="4"/>
      <c r="C2" s="4"/>
      <c r="D2" s="4"/>
      <c r="E2" s="4"/>
      <c r="F2" s="4"/>
      <c r="G2" s="4"/>
    </row>
    <row r="3" ht="17.4" customHeight="1">
      <c r="A3" t="s" s="5">
        <v>1</v>
      </c>
      <c r="B3" t="s" s="6">
        <v>2</v>
      </c>
      <c r="C3" t="s" s="7">
        <v>3</v>
      </c>
      <c r="D3" t="s" s="7">
        <v>4</v>
      </c>
      <c r="E3" t="s" s="7">
        <v>5</v>
      </c>
      <c r="F3" t="s" s="7">
        <v>6</v>
      </c>
      <c r="G3" t="s" s="8">
        <v>7</v>
      </c>
    </row>
    <row r="4" ht="20" customHeight="1">
      <c r="A4" t="s" s="9">
        <v>8</v>
      </c>
      <c r="B4" t="s" s="10">
        <v>9</v>
      </c>
      <c r="C4" t="s" s="10">
        <v>10</v>
      </c>
      <c r="D4" s="11">
        <v>6</v>
      </c>
      <c r="E4" s="12"/>
      <c r="F4" s="13">
        <v>35.9</v>
      </c>
      <c r="G4" s="14" cm="1">
        <f t="array" ref="G4">E4*F4</f>
        <v>0</v>
      </c>
    </row>
    <row r="5" ht="20" customHeight="1">
      <c r="A5" t="s" s="15">
        <v>11</v>
      </c>
      <c r="B5" t="s" s="16">
        <v>12</v>
      </c>
      <c r="C5" t="s" s="16">
        <v>13</v>
      </c>
      <c r="D5" s="17">
        <v>6</v>
      </c>
      <c r="E5" s="18"/>
      <c r="F5" s="13">
        <v>35.9</v>
      </c>
      <c r="G5" s="19" cm="1">
        <f t="array" ref="G5">E5*F5</f>
        <v>0</v>
      </c>
    </row>
    <row r="6" ht="20" customHeight="1">
      <c r="A6" t="s" s="15">
        <v>14</v>
      </c>
      <c r="B6" t="s" s="16">
        <v>15</v>
      </c>
      <c r="C6" t="s" s="16">
        <v>16</v>
      </c>
      <c r="D6" s="17">
        <v>6</v>
      </c>
      <c r="E6" s="18"/>
      <c r="F6" s="13">
        <v>35.9</v>
      </c>
      <c r="G6" s="19" cm="1">
        <f t="array" ref="G6">E6*F6</f>
        <v>0</v>
      </c>
    </row>
    <row r="7" ht="17.4" customHeight="1">
      <c r="A7" t="s" s="20">
        <v>17</v>
      </c>
      <c r="B7" t="s" s="21">
        <v>18</v>
      </c>
      <c r="C7" t="s" s="22">
        <v>19</v>
      </c>
      <c r="D7" s="23">
        <v>6</v>
      </c>
      <c r="E7" s="24"/>
      <c r="F7" s="25">
        <v>35.9</v>
      </c>
      <c r="G7" s="26" cm="1">
        <f t="array" ref="G7">E7*F7</f>
        <v>0</v>
      </c>
    </row>
    <row r="8" ht="20" customHeight="1">
      <c r="A8" t="s" s="9">
        <v>20</v>
      </c>
      <c r="B8" t="s" s="10">
        <v>21</v>
      </c>
      <c r="C8" t="s" s="10">
        <v>22</v>
      </c>
      <c r="D8" s="11">
        <v>6</v>
      </c>
      <c r="E8" s="12"/>
      <c r="F8" s="27">
        <v>24.5</v>
      </c>
      <c r="G8" s="14" cm="1">
        <f t="array" ref="G8">E8*F8</f>
        <v>0</v>
      </c>
    </row>
    <row r="9" ht="20" customHeight="1">
      <c r="A9" t="s" s="15">
        <v>23</v>
      </c>
      <c r="B9" t="s" s="16">
        <v>24</v>
      </c>
      <c r="C9" t="s" s="16">
        <v>25</v>
      </c>
      <c r="D9" s="17">
        <v>6</v>
      </c>
      <c r="E9" s="18"/>
      <c r="F9" s="13">
        <v>24.5</v>
      </c>
      <c r="G9" s="19" cm="1">
        <f t="array" ref="G9">E9*F9</f>
        <v>0</v>
      </c>
    </row>
    <row r="10" ht="20" customHeight="1">
      <c r="A10" t="s" s="15">
        <v>26</v>
      </c>
      <c r="B10" t="s" s="16">
        <v>27</v>
      </c>
      <c r="C10" t="s" s="16">
        <v>28</v>
      </c>
      <c r="D10" s="17">
        <v>6</v>
      </c>
      <c r="E10" s="18"/>
      <c r="F10" s="13">
        <v>24.5</v>
      </c>
      <c r="G10" s="19" cm="1">
        <f t="array" ref="G10">E10*F10</f>
        <v>0</v>
      </c>
    </row>
    <row r="11" ht="20" customHeight="1">
      <c r="A11" t="s" s="15">
        <v>29</v>
      </c>
      <c r="B11" t="s" s="16">
        <v>30</v>
      </c>
      <c r="C11" t="s" s="16">
        <v>31</v>
      </c>
      <c r="D11" s="17">
        <v>6</v>
      </c>
      <c r="E11" s="18"/>
      <c r="F11" s="13">
        <v>24.5</v>
      </c>
      <c r="G11" s="19" cm="1">
        <f t="array" ref="G11">E11*F11</f>
        <v>0</v>
      </c>
    </row>
    <row r="12" ht="20" customHeight="1">
      <c r="A12" t="s" s="15">
        <v>32</v>
      </c>
      <c r="B12" t="s" s="16">
        <v>33</v>
      </c>
      <c r="C12" t="s" s="16">
        <v>34</v>
      </c>
      <c r="D12" s="17">
        <v>6</v>
      </c>
      <c r="E12" s="18"/>
      <c r="F12" s="13">
        <v>24.5</v>
      </c>
      <c r="G12" s="19" cm="1">
        <f t="array" ref="G12">E12*F12</f>
        <v>0</v>
      </c>
    </row>
    <row r="13" ht="20" customHeight="1">
      <c r="A13" t="s" s="15">
        <v>35</v>
      </c>
      <c r="B13" t="s" s="16">
        <v>36</v>
      </c>
      <c r="C13" t="s" s="16">
        <v>37</v>
      </c>
      <c r="D13" s="17">
        <v>6</v>
      </c>
      <c r="E13" s="18"/>
      <c r="F13" s="13">
        <v>24.5</v>
      </c>
      <c r="G13" s="19" cm="1">
        <f t="array" ref="G13">E13*F13</f>
        <v>0</v>
      </c>
    </row>
    <row r="14" ht="17.4" customHeight="1">
      <c r="A14" t="s" s="20">
        <v>38</v>
      </c>
      <c r="B14" t="s" s="22">
        <v>39</v>
      </c>
      <c r="C14" t="s" s="22">
        <v>40</v>
      </c>
      <c r="D14" s="23">
        <v>6</v>
      </c>
      <c r="E14" s="24"/>
      <c r="F14" s="25">
        <v>24.5</v>
      </c>
      <c r="G14" s="26" cm="1">
        <f t="array" ref="G14">E14*F14</f>
        <v>0</v>
      </c>
    </row>
    <row r="15" ht="20" customHeight="1">
      <c r="A15" t="s" s="9">
        <v>41</v>
      </c>
      <c r="B15" t="s" s="10">
        <v>42</v>
      </c>
      <c r="C15" t="s" s="10">
        <v>43</v>
      </c>
      <c r="D15" s="11">
        <v>2</v>
      </c>
      <c r="E15" s="12"/>
      <c r="F15" s="27">
        <v>42.5</v>
      </c>
      <c r="G15" s="14" cm="1">
        <f t="array" ref="G15">E15*F15</f>
        <v>0</v>
      </c>
    </row>
    <row r="16" ht="20" customHeight="1">
      <c r="A16" t="s" s="15">
        <v>44</v>
      </c>
      <c r="B16" t="s" s="16">
        <v>45</v>
      </c>
      <c r="C16" t="s" s="16">
        <v>46</v>
      </c>
      <c r="D16" s="17">
        <v>2</v>
      </c>
      <c r="E16" s="18"/>
      <c r="F16" s="13">
        <v>42.5</v>
      </c>
      <c r="G16" s="19" cm="1">
        <f t="array" ref="G16">E16*F16</f>
        <v>0</v>
      </c>
    </row>
    <row r="17" ht="20" customHeight="1">
      <c r="A17" t="s" s="15">
        <v>47</v>
      </c>
      <c r="B17" t="s" s="16">
        <v>48</v>
      </c>
      <c r="C17" t="s" s="16">
        <v>49</v>
      </c>
      <c r="D17" s="17">
        <v>2</v>
      </c>
      <c r="E17" s="18"/>
      <c r="F17" s="13">
        <v>42.5</v>
      </c>
      <c r="G17" s="19" cm="1">
        <f t="array" ref="G17">E17*F17</f>
        <v>0</v>
      </c>
    </row>
    <row r="18" ht="20" customHeight="1">
      <c r="A18" t="s" s="15">
        <v>50</v>
      </c>
      <c r="B18" t="s" s="16">
        <v>51</v>
      </c>
      <c r="C18" t="s" s="16">
        <v>52</v>
      </c>
      <c r="D18" s="17">
        <v>2</v>
      </c>
      <c r="E18" s="18"/>
      <c r="F18" s="13">
        <v>42.5</v>
      </c>
      <c r="G18" s="19" cm="1">
        <f t="array" ref="G18">E18*F18</f>
        <v>0</v>
      </c>
    </row>
    <row r="19" ht="20" customHeight="1">
      <c r="A19" t="s" s="15">
        <v>53</v>
      </c>
      <c r="B19" t="s" s="28">
        <v>54</v>
      </c>
      <c r="C19" t="s" s="16">
        <v>55</v>
      </c>
      <c r="D19" s="17">
        <v>2</v>
      </c>
      <c r="E19" s="18"/>
      <c r="F19" s="13">
        <v>42.5</v>
      </c>
      <c r="G19" s="19" cm="1">
        <f t="array" ref="G19">E19*F19</f>
        <v>0</v>
      </c>
    </row>
    <row r="20" ht="20" customHeight="1">
      <c r="A20" t="s" s="15">
        <v>56</v>
      </c>
      <c r="B20" t="s" s="16">
        <v>57</v>
      </c>
      <c r="C20" t="s" s="16">
        <v>58</v>
      </c>
      <c r="D20" s="17">
        <v>2</v>
      </c>
      <c r="E20" s="18"/>
      <c r="F20" s="13">
        <v>42.5</v>
      </c>
      <c r="G20" s="19" cm="1">
        <f t="array" ref="G20">E20*F20</f>
        <v>0</v>
      </c>
    </row>
    <row r="21" ht="17.4" customHeight="1">
      <c r="A21" t="s" s="20">
        <v>59</v>
      </c>
      <c r="B21" t="s" s="22">
        <v>60</v>
      </c>
      <c r="C21" t="s" s="22">
        <v>61</v>
      </c>
      <c r="D21" s="23">
        <v>2</v>
      </c>
      <c r="E21" s="24"/>
      <c r="F21" s="25">
        <v>42.5</v>
      </c>
      <c r="G21" s="26" cm="1">
        <f t="array" ref="G21">E21*F21</f>
        <v>0</v>
      </c>
    </row>
    <row r="22" ht="20" customHeight="1">
      <c r="A22" t="s" s="9">
        <v>62</v>
      </c>
      <c r="B22" t="s" s="10">
        <v>63</v>
      </c>
      <c r="C22" t="s" s="10">
        <v>64</v>
      </c>
      <c r="D22" s="11">
        <v>2</v>
      </c>
      <c r="E22" s="12"/>
      <c r="F22" s="27">
        <v>32.5</v>
      </c>
      <c r="G22" s="14" cm="1">
        <f t="array" ref="G22">E22*F22</f>
        <v>0</v>
      </c>
    </row>
    <row r="23" ht="20" customHeight="1">
      <c r="A23" t="s" s="15">
        <v>65</v>
      </c>
      <c r="B23" t="s" s="16">
        <v>66</v>
      </c>
      <c r="C23" t="s" s="16">
        <v>67</v>
      </c>
      <c r="D23" s="17">
        <v>2</v>
      </c>
      <c r="E23" s="18"/>
      <c r="F23" s="13">
        <v>32.5</v>
      </c>
      <c r="G23" s="19" cm="1">
        <f t="array" ref="G23">E23*F23</f>
        <v>0</v>
      </c>
    </row>
    <row r="24" ht="20" customHeight="1">
      <c r="A24" t="s" s="15">
        <v>68</v>
      </c>
      <c r="B24" t="s" s="16">
        <v>69</v>
      </c>
      <c r="C24" t="s" s="16">
        <v>70</v>
      </c>
      <c r="D24" s="17">
        <v>2</v>
      </c>
      <c r="E24" s="18"/>
      <c r="F24" s="13">
        <v>32.5</v>
      </c>
      <c r="G24" s="19" cm="1">
        <f t="array" ref="G24">E24*F24</f>
        <v>0</v>
      </c>
    </row>
    <row r="25" ht="17.4" customHeight="1">
      <c r="A25" t="s" s="20">
        <v>71</v>
      </c>
      <c r="B25" t="s" s="22">
        <v>72</v>
      </c>
      <c r="C25" t="s" s="22">
        <v>73</v>
      </c>
      <c r="D25" s="23">
        <v>2</v>
      </c>
      <c r="E25" s="24"/>
      <c r="F25" s="25">
        <v>32.5</v>
      </c>
      <c r="G25" s="26" cm="1">
        <f t="array" ref="G25">E25*F25</f>
        <v>0</v>
      </c>
    </row>
    <row r="26" ht="20" customHeight="1">
      <c r="A26" t="s" s="9">
        <v>74</v>
      </c>
      <c r="B26" t="s" s="10">
        <v>75</v>
      </c>
      <c r="C26" t="s" s="10">
        <v>76</v>
      </c>
      <c r="D26" s="11">
        <v>6</v>
      </c>
      <c r="E26" s="12"/>
      <c r="F26" s="27">
        <v>20.7</v>
      </c>
      <c r="G26" s="14" cm="1">
        <f t="array" ref="G26">E26*F26</f>
        <v>0</v>
      </c>
    </row>
    <row r="27" ht="20" customHeight="1">
      <c r="A27" t="s" s="15">
        <v>77</v>
      </c>
      <c r="B27" t="s" s="28">
        <v>78</v>
      </c>
      <c r="C27" t="s" s="16">
        <v>79</v>
      </c>
      <c r="D27" s="17">
        <v>6</v>
      </c>
      <c r="E27" s="18"/>
      <c r="F27" s="13">
        <v>20.7</v>
      </c>
      <c r="G27" s="19" cm="1">
        <f t="array" ref="G27">E27*F27</f>
        <v>0</v>
      </c>
    </row>
    <row r="28" ht="20" customHeight="1">
      <c r="A28" t="s" s="15">
        <v>80</v>
      </c>
      <c r="B28" t="s" s="16">
        <v>81</v>
      </c>
      <c r="C28" t="s" s="16">
        <v>82</v>
      </c>
      <c r="D28" s="17">
        <v>6</v>
      </c>
      <c r="E28" s="18"/>
      <c r="F28" s="13">
        <v>20.7</v>
      </c>
      <c r="G28" s="19" cm="1">
        <f t="array" ref="G28">E28*F28</f>
        <v>0</v>
      </c>
    </row>
    <row r="29" ht="17.4" customHeight="1">
      <c r="A29" t="s" s="20">
        <v>83</v>
      </c>
      <c r="B29" t="s" s="22">
        <v>84</v>
      </c>
      <c r="C29" t="s" s="22">
        <v>85</v>
      </c>
      <c r="D29" s="23">
        <v>6</v>
      </c>
      <c r="E29" s="24"/>
      <c r="F29" s="25">
        <v>20.7</v>
      </c>
      <c r="G29" s="26" cm="1">
        <f t="array" ref="G29">E29*F29</f>
        <v>0</v>
      </c>
    </row>
    <row r="30" ht="19.5" customHeight="1">
      <c r="A30" t="s" s="9">
        <v>86</v>
      </c>
      <c r="B30" t="s" s="10">
        <v>87</v>
      </c>
      <c r="C30" t="s" s="10">
        <v>88</v>
      </c>
      <c r="D30" s="11">
        <v>2</v>
      </c>
      <c r="E30" s="12"/>
      <c r="F30" s="29">
        <v>24</v>
      </c>
      <c r="G30" s="14" cm="1">
        <f t="array" ref="G30">E30*F30</f>
        <v>0</v>
      </c>
    </row>
    <row r="31" ht="19" customHeight="1">
      <c r="A31" t="s" s="15">
        <v>89</v>
      </c>
      <c r="B31" t="s" s="16">
        <v>90</v>
      </c>
      <c r="C31" t="s" s="16">
        <v>91</v>
      </c>
      <c r="D31" s="17">
        <v>2</v>
      </c>
      <c r="E31" s="18"/>
      <c r="F31" s="29">
        <v>24</v>
      </c>
      <c r="G31" s="19" cm="1">
        <f t="array" ref="G31">E31*F31</f>
        <v>0</v>
      </c>
    </row>
    <row r="32" ht="19" customHeight="1">
      <c r="A32" t="s" s="15">
        <v>92</v>
      </c>
      <c r="B32" t="s" s="16">
        <v>93</v>
      </c>
      <c r="C32" t="s" s="16">
        <v>94</v>
      </c>
      <c r="D32" s="17">
        <v>2</v>
      </c>
      <c r="E32" s="18"/>
      <c r="F32" s="29">
        <v>24</v>
      </c>
      <c r="G32" s="19" cm="1">
        <f t="array" ref="G32">E32*F32</f>
        <v>0</v>
      </c>
    </row>
    <row r="33" ht="19" customHeight="1">
      <c r="A33" t="s" s="15">
        <v>95</v>
      </c>
      <c r="B33" t="s" s="16">
        <v>96</v>
      </c>
      <c r="C33" t="s" s="16">
        <v>97</v>
      </c>
      <c r="D33" s="17">
        <v>6</v>
      </c>
      <c r="E33" s="18"/>
      <c r="F33" s="29">
        <v>15.5</v>
      </c>
      <c r="G33" s="19" cm="1">
        <f t="array" ref="G33">E33*F33</f>
        <v>0</v>
      </c>
    </row>
    <row r="34" ht="17.4" customHeight="1">
      <c r="A34" t="s" s="20">
        <v>98</v>
      </c>
      <c r="B34" t="s" s="22">
        <v>99</v>
      </c>
      <c r="C34" t="s" s="22">
        <v>100</v>
      </c>
      <c r="D34" s="23">
        <v>6</v>
      </c>
      <c r="E34" s="24"/>
      <c r="F34" s="27">
        <v>15.5</v>
      </c>
      <c r="G34" s="26" cm="1">
        <f t="array" ref="G34">E34*F34</f>
        <v>0</v>
      </c>
    </row>
    <row r="35" ht="19.5" customHeight="1">
      <c r="A35" t="s" s="9">
        <v>101</v>
      </c>
      <c r="B35" t="s" s="30">
        <v>102</v>
      </c>
      <c r="C35" t="s" s="10">
        <v>103</v>
      </c>
      <c r="D35" s="11">
        <v>10</v>
      </c>
      <c r="E35" s="12"/>
      <c r="F35" s="25">
        <v>13</v>
      </c>
      <c r="G35" s="14" cm="1">
        <f t="array" ref="G35">E35*F35</f>
        <v>0</v>
      </c>
    </row>
    <row r="36" ht="19" customHeight="1">
      <c r="A36" t="s" s="15">
        <v>104</v>
      </c>
      <c r="B36" t="s" s="16">
        <v>105</v>
      </c>
      <c r="C36" t="s" s="16">
        <v>106</v>
      </c>
      <c r="D36" s="17">
        <v>10</v>
      </c>
      <c r="E36" s="18"/>
      <c r="F36" s="29">
        <v>13</v>
      </c>
      <c r="G36" s="19" cm="1">
        <f t="array" ref="G36">E36*F36</f>
        <v>0</v>
      </c>
    </row>
    <row r="37" ht="19" customHeight="1">
      <c r="A37" t="s" s="15">
        <v>107</v>
      </c>
      <c r="B37" t="s" s="28">
        <v>108</v>
      </c>
      <c r="C37" t="s" s="16">
        <v>109</v>
      </c>
      <c r="D37" s="17">
        <v>10</v>
      </c>
      <c r="E37" s="18"/>
      <c r="F37" s="29">
        <v>13</v>
      </c>
      <c r="G37" s="19" cm="1">
        <f t="array" ref="G37">E37*F37</f>
        <v>0</v>
      </c>
    </row>
    <row r="38" ht="17.4" customHeight="1">
      <c r="A38" t="s" s="20">
        <v>110</v>
      </c>
      <c r="B38" t="s" s="21">
        <v>111</v>
      </c>
      <c r="C38" t="s" s="22">
        <v>112</v>
      </c>
      <c r="D38" s="23">
        <v>10</v>
      </c>
      <c r="E38" s="24"/>
      <c r="F38" s="27">
        <v>13</v>
      </c>
      <c r="G38" s="26" cm="1">
        <f t="array" ref="G38">E38*F38</f>
        <v>0</v>
      </c>
    </row>
    <row r="39" ht="17.4" customHeight="1">
      <c r="A39" t="s" s="31">
        <v>113</v>
      </c>
      <c r="B39" t="s" s="32">
        <v>114</v>
      </c>
      <c r="C39" t="s" s="33">
        <v>115</v>
      </c>
      <c r="D39" s="34">
        <v>12</v>
      </c>
      <c r="E39" s="35"/>
      <c r="F39" s="13">
        <v>12.9</v>
      </c>
      <c r="G39" s="36" cm="1">
        <f t="array" ref="G39">E39*F39</f>
        <v>0</v>
      </c>
    </row>
    <row r="40" ht="19.5" customHeight="1">
      <c r="A40" t="s" s="9">
        <v>116</v>
      </c>
      <c r="B40" t="s" s="10">
        <v>117</v>
      </c>
      <c r="C40" t="s" s="10">
        <v>118</v>
      </c>
      <c r="D40" s="11">
        <v>6</v>
      </c>
      <c r="E40" s="12"/>
      <c r="F40" s="25">
        <v>13.5</v>
      </c>
      <c r="G40" s="14" cm="1">
        <f t="array" ref="G40">E40*F40</f>
        <v>0</v>
      </c>
    </row>
    <row r="41" ht="19" customHeight="1">
      <c r="A41" t="s" s="15">
        <v>119</v>
      </c>
      <c r="B41" t="s" s="16">
        <v>120</v>
      </c>
      <c r="C41" t="s" s="16">
        <v>121</v>
      </c>
      <c r="D41" s="17">
        <v>6</v>
      </c>
      <c r="E41" s="18"/>
      <c r="F41" s="29">
        <v>13.5</v>
      </c>
      <c r="G41" s="19" cm="1">
        <f t="array" ref="G41">E41*F41</f>
        <v>0</v>
      </c>
    </row>
    <row r="42" ht="17.4" customHeight="1">
      <c r="A42" t="s" s="20">
        <v>122</v>
      </c>
      <c r="B42" t="s" s="22">
        <v>123</v>
      </c>
      <c r="C42" t="s" s="22">
        <v>124</v>
      </c>
      <c r="D42" s="23">
        <v>6</v>
      </c>
      <c r="E42" s="24"/>
      <c r="F42" s="27">
        <v>13.5</v>
      </c>
      <c r="G42" s="26" cm="1">
        <f t="array" ref="G42">E42*F42</f>
        <v>0</v>
      </c>
    </row>
    <row r="43" ht="17.4" customHeight="1">
      <c r="A43" t="s" s="31">
        <v>125</v>
      </c>
      <c r="B43" t="s" s="32">
        <v>126</v>
      </c>
      <c r="C43" t="s" s="33">
        <v>127</v>
      </c>
      <c r="D43" s="34">
        <v>12</v>
      </c>
      <c r="E43" s="35"/>
      <c r="F43" s="13">
        <v>12</v>
      </c>
      <c r="G43" s="36" cm="1">
        <f t="array" ref="G43">E43*F43</f>
        <v>0</v>
      </c>
    </row>
    <row r="44" ht="20" customHeight="1">
      <c r="A44" t="s" s="9">
        <v>128</v>
      </c>
      <c r="B44" t="s" s="10">
        <v>129</v>
      </c>
      <c r="C44" t="s" s="10">
        <v>130</v>
      </c>
      <c r="D44" s="11">
        <v>6</v>
      </c>
      <c r="E44" s="12"/>
      <c r="F44" s="13">
        <v>11.5</v>
      </c>
      <c r="G44" s="14" cm="1">
        <f t="array" ref="G44">E44*F44</f>
        <v>0</v>
      </c>
    </row>
    <row r="45" ht="20" customHeight="1">
      <c r="A45" t="s" s="15">
        <v>131</v>
      </c>
      <c r="B45" t="s" s="16">
        <v>132</v>
      </c>
      <c r="C45" t="s" s="16">
        <v>133</v>
      </c>
      <c r="D45" s="17">
        <v>6</v>
      </c>
      <c r="E45" s="18"/>
      <c r="F45" s="13">
        <v>11.5</v>
      </c>
      <c r="G45" s="19" cm="1">
        <f t="array" ref="G45">E45*F45</f>
        <v>0</v>
      </c>
    </row>
    <row r="46" ht="20" customHeight="1">
      <c r="A46" t="s" s="15">
        <v>134</v>
      </c>
      <c r="B46" t="s" s="16">
        <v>135</v>
      </c>
      <c r="C46" t="s" s="16">
        <v>136</v>
      </c>
      <c r="D46" s="17">
        <v>6</v>
      </c>
      <c r="E46" s="18"/>
      <c r="F46" s="13">
        <v>11.5</v>
      </c>
      <c r="G46" s="19" cm="1">
        <f t="array" ref="G46">E46*F46</f>
        <v>0</v>
      </c>
    </row>
    <row r="47" ht="17.4" customHeight="1">
      <c r="A47" t="s" s="20">
        <v>137</v>
      </c>
      <c r="B47" t="s" s="22">
        <v>138</v>
      </c>
      <c r="C47" t="s" s="22">
        <v>139</v>
      </c>
      <c r="D47" s="23">
        <v>6</v>
      </c>
      <c r="E47" s="24"/>
      <c r="F47" s="25">
        <v>11.5</v>
      </c>
      <c r="G47" s="26" cm="1">
        <f t="array" ref="G47">E47*F47</f>
        <v>0</v>
      </c>
    </row>
    <row r="48" ht="17.4" customHeight="1">
      <c r="A48" t="s" s="31">
        <v>140</v>
      </c>
      <c r="B48" s="37"/>
      <c r="C48" t="s" s="33">
        <v>141</v>
      </c>
      <c r="D48" s="34">
        <v>18</v>
      </c>
      <c r="E48" s="35"/>
      <c r="F48" s="27">
        <v>5.8</v>
      </c>
      <c r="G48" s="36" cm="1">
        <f t="array" ref="G48">E48*F48</f>
        <v>0</v>
      </c>
    </row>
    <row r="49" ht="20" customHeight="1">
      <c r="A49" t="s" s="9">
        <v>142</v>
      </c>
      <c r="B49" t="s" s="30">
        <v>143</v>
      </c>
      <c r="C49" t="s" s="10">
        <v>144</v>
      </c>
      <c r="D49" s="11">
        <v>6</v>
      </c>
      <c r="E49" s="12"/>
      <c r="F49" s="13">
        <v>13.9</v>
      </c>
      <c r="G49" s="14" cm="1">
        <f t="array" ref="G49">E49*F49</f>
        <v>0</v>
      </c>
    </row>
    <row r="50" ht="20" customHeight="1">
      <c r="A50" t="s" s="15">
        <v>145</v>
      </c>
      <c r="B50" t="s" s="28">
        <v>146</v>
      </c>
      <c r="C50" t="s" s="16">
        <v>147</v>
      </c>
      <c r="D50" s="17">
        <v>6</v>
      </c>
      <c r="E50" s="18"/>
      <c r="F50" s="13">
        <v>13.9</v>
      </c>
      <c r="G50" s="19" cm="1">
        <f t="array" ref="G50">E50*F50</f>
        <v>0</v>
      </c>
    </row>
    <row r="51" ht="20" customHeight="1">
      <c r="A51" t="s" s="15">
        <v>148</v>
      </c>
      <c r="B51" t="s" s="28">
        <v>149</v>
      </c>
      <c r="C51" t="s" s="16">
        <v>150</v>
      </c>
      <c r="D51" s="17">
        <v>6</v>
      </c>
      <c r="E51" s="18"/>
      <c r="F51" s="13">
        <v>13.9</v>
      </c>
      <c r="G51" s="19" cm="1">
        <f t="array" ref="G51">E51*F51</f>
        <v>0</v>
      </c>
    </row>
    <row r="52" ht="17.4" customHeight="1">
      <c r="A52" t="s" s="20">
        <v>151</v>
      </c>
      <c r="B52" t="s" s="21">
        <v>152</v>
      </c>
      <c r="C52" t="s" s="22">
        <v>153</v>
      </c>
      <c r="D52" s="23">
        <v>6</v>
      </c>
      <c r="E52" s="24"/>
      <c r="F52" s="25">
        <v>13.9</v>
      </c>
      <c r="G52" s="26" cm="1">
        <f t="array" ref="G52">E52*F52</f>
        <v>0</v>
      </c>
    </row>
    <row r="53" ht="19.5" customHeight="1">
      <c r="A53" t="s" s="9">
        <v>154</v>
      </c>
      <c r="B53" t="s" s="30">
        <v>155</v>
      </c>
      <c r="C53" t="s" s="10">
        <v>156</v>
      </c>
      <c r="D53" s="11">
        <v>12</v>
      </c>
      <c r="E53" s="12"/>
      <c r="F53" s="29">
        <v>11.8</v>
      </c>
      <c r="G53" s="14" cm="1">
        <f t="array" ref="G53">E53*F53</f>
        <v>0</v>
      </c>
    </row>
    <row r="54" ht="17.4" customHeight="1">
      <c r="A54" t="s" s="20">
        <v>157</v>
      </c>
      <c r="B54" t="s" s="21">
        <v>158</v>
      </c>
      <c r="C54" t="s" s="22">
        <v>159</v>
      </c>
      <c r="D54" s="23">
        <v>12</v>
      </c>
      <c r="E54" s="24"/>
      <c r="F54" s="27">
        <v>11.8</v>
      </c>
      <c r="G54" s="26" cm="1">
        <f t="array" ref="G54">E54*F54</f>
        <v>0</v>
      </c>
    </row>
    <row r="55" ht="17.4" customHeight="1">
      <c r="A55" t="s" s="31">
        <v>160</v>
      </c>
      <c r="B55" t="s" s="38">
        <v>161</v>
      </c>
      <c r="C55" t="s" s="33">
        <v>162</v>
      </c>
      <c r="D55" s="34">
        <v>12</v>
      </c>
      <c r="E55" s="35"/>
      <c r="F55" s="13">
        <v>9.99</v>
      </c>
      <c r="G55" s="36" cm="1">
        <f t="array" ref="G55">E55*F55</f>
        <v>0</v>
      </c>
    </row>
    <row r="56" ht="17.4" customHeight="1">
      <c r="A56" t="s" s="31">
        <v>163</v>
      </c>
      <c r="B56" t="s" s="32">
        <v>164</v>
      </c>
      <c r="C56" t="s" s="33">
        <v>165</v>
      </c>
      <c r="D56" s="34">
        <v>12</v>
      </c>
      <c r="E56" s="35"/>
      <c r="F56" s="13">
        <v>18</v>
      </c>
      <c r="G56" s="36" cm="1">
        <f t="array" ref="G56">E56*F56</f>
        <v>0</v>
      </c>
    </row>
    <row r="57" ht="17.4" customHeight="1">
      <c r="A57" t="s" s="31">
        <v>166</v>
      </c>
      <c r="B57" t="s" s="38">
        <v>167</v>
      </c>
      <c r="C57" t="s" s="33">
        <v>168</v>
      </c>
      <c r="D57" s="34">
        <v>18</v>
      </c>
      <c r="E57" s="39"/>
      <c r="F57" s="13">
        <v>8.9</v>
      </c>
      <c r="G57" s="36" cm="1">
        <f t="array" ref="G57">E57*F57</f>
        <v>0</v>
      </c>
    </row>
    <row r="58" ht="17.4" customHeight="1">
      <c r="A58" t="s" s="31">
        <v>169</v>
      </c>
      <c r="B58" s="37"/>
      <c r="C58" t="s" s="33">
        <v>170</v>
      </c>
      <c r="D58" s="34"/>
      <c r="E58" s="35"/>
      <c r="F58" s="36">
        <v>11</v>
      </c>
      <c r="G58" s="40" cm="1">
        <f t="array" ref="G58">E58*F58</f>
        <v>0</v>
      </c>
    </row>
    <row r="59" ht="19.5" customHeight="1">
      <c r="A59" t="s" s="9">
        <v>171</v>
      </c>
      <c r="B59" s="41"/>
      <c r="C59" t="s" s="10">
        <v>172</v>
      </c>
      <c r="D59" s="42">
        <v>18</v>
      </c>
      <c r="E59" s="12"/>
      <c r="F59" s="43">
        <v>10.9</v>
      </c>
      <c r="G59" s="14" cm="1">
        <f t="array" ref="G59">E59*F59</f>
        <v>0</v>
      </c>
    </row>
    <row r="60" ht="19" customHeight="1">
      <c r="A60" t="s" s="15">
        <v>173</v>
      </c>
      <c r="B60" t="s" s="16">
        <v>174</v>
      </c>
      <c r="C60" t="s" s="16">
        <v>175</v>
      </c>
      <c r="D60" s="17">
        <v>6</v>
      </c>
      <c r="E60" s="44"/>
      <c r="F60" s="29">
        <v>11</v>
      </c>
      <c r="G60" s="19" cm="1">
        <f t="array" ref="G60">E60*F60</f>
        <v>0</v>
      </c>
    </row>
    <row r="61" ht="17.4" customHeight="1">
      <c r="A61" t="s" s="20">
        <v>176</v>
      </c>
      <c r="B61" t="s" s="22">
        <v>177</v>
      </c>
      <c r="C61" t="s" s="22">
        <v>178</v>
      </c>
      <c r="D61" s="23">
        <v>6</v>
      </c>
      <c r="E61" s="45"/>
      <c r="F61" s="27">
        <v>11</v>
      </c>
      <c r="G61" s="26" cm="1">
        <f t="array" ref="G61">E61*F61</f>
        <v>0</v>
      </c>
    </row>
    <row r="62" ht="20" customHeight="1">
      <c r="A62" t="s" s="9">
        <v>179</v>
      </c>
      <c r="B62" t="s" s="46">
        <v>180</v>
      </c>
      <c r="C62" t="s" s="46">
        <v>181</v>
      </c>
      <c r="D62" s="47">
        <v>50</v>
      </c>
      <c r="E62" s="48"/>
      <c r="F62" s="13">
        <v>0.85</v>
      </c>
      <c r="G62" s="14" cm="1">
        <f t="array" ref="G62">E62*F62</f>
        <v>0</v>
      </c>
    </row>
    <row r="63" ht="20" customHeight="1">
      <c r="A63" t="s" s="15">
        <v>182</v>
      </c>
      <c r="B63" t="s" s="49">
        <v>183</v>
      </c>
      <c r="C63" t="s" s="49">
        <v>184</v>
      </c>
      <c r="D63" s="50">
        <v>50</v>
      </c>
      <c r="E63" s="44"/>
      <c r="F63" s="13">
        <v>0.85</v>
      </c>
      <c r="G63" s="19" cm="1">
        <f t="array" ref="G63">E63*F63</f>
        <v>0</v>
      </c>
    </row>
    <row r="64" ht="17.4" customHeight="1">
      <c r="A64" t="s" s="20">
        <v>185</v>
      </c>
      <c r="B64" t="s" s="51">
        <v>186</v>
      </c>
      <c r="C64" t="s" s="51">
        <v>187</v>
      </c>
      <c r="D64" s="52">
        <v>50</v>
      </c>
      <c r="E64" s="45"/>
      <c r="F64" s="13">
        <v>0.85</v>
      </c>
      <c r="G64" s="26" cm="1">
        <f t="array" ref="G64">E64*F64</f>
        <v>0</v>
      </c>
    </row>
    <row r="65" ht="20" customHeight="1">
      <c r="A65" t="s" s="9">
        <v>188</v>
      </c>
      <c r="B65" t="s" s="46">
        <v>189</v>
      </c>
      <c r="C65" t="s" s="46">
        <v>190</v>
      </c>
      <c r="D65" s="47">
        <v>50</v>
      </c>
      <c r="E65" s="48"/>
      <c r="F65" s="13">
        <v>0.85</v>
      </c>
      <c r="G65" s="14" cm="1">
        <f t="array" ref="G65">E65*F65</f>
        <v>0</v>
      </c>
    </row>
    <row r="66" ht="19.5" customHeight="1">
      <c r="A66" t="s" s="15">
        <v>191</v>
      </c>
      <c r="B66" t="s" s="49">
        <v>192</v>
      </c>
      <c r="C66" t="s" s="49">
        <v>193</v>
      </c>
      <c r="D66" s="50">
        <v>50</v>
      </c>
      <c r="E66" s="44"/>
      <c r="F66" s="25">
        <v>0.85</v>
      </c>
      <c r="G66" s="19" cm="1">
        <f t="array" ref="G66">E66*F66</f>
        <v>0</v>
      </c>
    </row>
    <row r="67" ht="17.4" customHeight="1">
      <c r="A67" t="s" s="20">
        <v>194</v>
      </c>
      <c r="B67" t="s" s="22">
        <v>195</v>
      </c>
      <c r="C67" t="s" s="22">
        <v>196</v>
      </c>
      <c r="D67" s="52">
        <v>48</v>
      </c>
      <c r="E67" s="45"/>
      <c r="F67" s="27">
        <v>4</v>
      </c>
      <c r="G67" s="26" cm="1">
        <f t="array" ref="G67">E67*F67</f>
        <v>0</v>
      </c>
    </row>
    <row r="68" ht="21" customHeight="1">
      <c r="A68" s="53"/>
      <c r="B68" s="53"/>
      <c r="C68" s="53"/>
      <c r="D68" s="53"/>
      <c r="E68" s="53"/>
      <c r="F68" s="54"/>
      <c r="G68" s="55" cm="1">
        <f t="array" ref="G68">SUM(G4:G67)</f>
        <v>0</v>
      </c>
    </row>
    <row r="69" ht="15.35" customHeight="1">
      <c r="A69" s="56"/>
      <c r="B69" s="56"/>
      <c r="C69" s="56"/>
      <c r="D69" s="56"/>
      <c r="E69" s="56"/>
      <c r="F69" s="56"/>
      <c r="G69" s="57"/>
    </row>
    <row r="70" ht="19" customHeight="1">
      <c r="A70" s="56"/>
      <c r="B70" s="56"/>
      <c r="C70" s="56"/>
      <c r="D70" s="58"/>
      <c r="E70" s="58"/>
      <c r="F70" s="56"/>
      <c r="G70" s="56"/>
    </row>
    <row r="71" ht="19" customHeight="1">
      <c r="A71" s="56"/>
      <c r="B71" s="56"/>
      <c r="C71" s="56"/>
      <c r="D71" s="58"/>
      <c r="E71" s="58"/>
      <c r="F71" s="56"/>
      <c r="G71" s="56"/>
    </row>
    <row r="72" ht="19" customHeight="1">
      <c r="A72" s="56"/>
      <c r="B72" s="56"/>
      <c r="C72" s="56"/>
      <c r="D72" s="58"/>
      <c r="E72" s="58"/>
      <c r="F72" s="56"/>
      <c r="G72" s="56"/>
    </row>
    <row r="73" ht="19" customHeight="1">
      <c r="A73" s="56"/>
      <c r="B73" s="56"/>
      <c r="C73" s="56"/>
      <c r="D73" s="58"/>
      <c r="E73" s="58"/>
      <c r="F73" s="56"/>
      <c r="G73" s="56"/>
    </row>
    <row r="74" ht="19" customHeight="1">
      <c r="A74" s="56"/>
      <c r="B74" s="56"/>
      <c r="C74" s="56"/>
      <c r="D74" s="58"/>
      <c r="E74" s="58"/>
      <c r="F74" s="56"/>
      <c r="G74" s="56"/>
    </row>
    <row r="75" ht="15.35" customHeight="1">
      <c r="A75" s="56"/>
      <c r="B75" s="56"/>
      <c r="C75" s="56"/>
      <c r="D75" s="56"/>
      <c r="E75" s="56"/>
      <c r="F75" s="56"/>
      <c r="G75" s="56"/>
    </row>
  </sheetData>
  <mergeCells count="1">
    <mergeCell ref="A1:G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